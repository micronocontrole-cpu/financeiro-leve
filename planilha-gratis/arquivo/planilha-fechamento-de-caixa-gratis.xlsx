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Caixa do Mês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<sst xmlns="http://schemas.openxmlformats.org/spreadsheetml/2006/main" count="66" uniqueCount="65">
  <si>
    <t xml:space="preserve">Planilha Grátis de Fechamento de Caixa</t>
  </si>
  <si>
    <t xml:space="preserve">Micro no Controle · soluções com sabedoria</t>
  </si>
  <si>
    <t xml:space="preserve">Para que serve</t>
  </si>
  <si>
    <t xml:space="preserve">Descobrir no mesmo dia se o dinheiro da gaveta bateu, quem estava no caixa quando faltou e quanto isso vira no fim do ano.</t>
  </si>
  <si>
    <t xml:space="preserve">Como usar (10 minutos por dia)</t>
  </si>
  <si>
    <t xml:space="preserve">1. Na aba Caixa do Mês, preencha os dados do topo: nome do negócio, mês, tolerância e dias abertos.</t>
  </si>
  <si>
    <t xml:space="preserve">2. Ao fechar o caixa, lance uma linha: data, turno, quem estava no caixa, fundo de troco, vendas em dinheiro, entradas, sangrias e despesas pagas com o dinheiro da gaveta.</t>
  </si>
  <si>
    <t xml:space="preserve">3. Conte a gaveta (de preferência com duas pessoas) e digite o valor em Contado na gaveta.</t>
  </si>
  <si>
    <t xml:space="preserve">4. A planilha mostra o que deveria ter na gaveta, a diferença e a situação: OK, FALTA ou SOBRA.</t>
  </si>
  <si>
    <t xml:space="preserve">5. No fim da semana, abra a aba Resumo: total que faltou, maior falta, diferença por responsável e quanto isso vira em 12 meses.</t>
  </si>
  <si>
    <t xml:space="preserve">Regras de ouro</t>
  </si>
  <si>
    <t xml:space="preserve">• Só dinheiro físico entra aqui. Cartão e Pix são conferidos com o extrato da maquininha e do banco.</t>
  </si>
  <si>
    <t xml:space="preserve">• Toda sangria e toda despesa paga com o caixa precisa de valor, hora e comprovante.</t>
  </si>
  <si>
    <t xml:space="preserve">• Sobra também é sinal de alerta: costuma ser troco errado ou venda lançada a menos.</t>
  </si>
  <si>
    <t xml:space="preserve">• Falta descoberta no mesmo dia tem dono. Descoberta no fim do mês vira só um buraco.</t>
  </si>
  <si>
    <t xml:space="preserve">Sabedoria para o caixa</t>
  </si>
  <si>
    <t xml:space="preserve">“Procure conhecer bem o estado das suas ovelhas e cuide dos seus rebanhos” (Provérbios 27:23). No balcão, o rebanho é o caixa. Quem confere os números todo dia não é pego de surpresa.</t>
  </si>
  <si>
    <t xml:space="preserve">Quer o controle completo?</t>
  </si>
  <si>
    <t xml:space="preserve">O Kit Micro no Controle junta caixa, maquininha, contas a pagar, impostos (Simples e MEI) e lucro do mês numa planilha pronta, com guia e checklists. micronocontrole.com/kit</t>
  </si>
  <si>
    <t xml:space="preserve">Funciona no Excel e no Google Sheets (Arquivo → Importar). Estimativas para controle interno; para decisões fiscais, fale com o seu contador.</t>
  </si>
  <si>
    <t xml:space="preserve">FECHAMENTO DE CAIXA — 30 DIAS</t>
  </si>
  <si>
    <t xml:space="preserve">Micro no Controle · soluções com sabedoria · micronocontrole.com</t>
  </si>
  <si>
    <t xml:space="preserve">Negócio</t>
  </si>
  <si>
    <t xml:space="preserve">Meu Restaurante</t>
  </si>
  <si>
    <t xml:space="preserve">Células amarelas = você preenche. Brancas = a planilha calcula.</t>
  </si>
  <si>
    <t xml:space="preserve">Mês de referência</t>
  </si>
  <si>
    <t xml:space="preserve">Linha 9 é um exemplo: apague ou escreva por cima.</t>
  </si>
  <si>
    <t xml:space="preserve">Tolerância de diferença (R$)</t>
  </si>
  <si>
    <t xml:space="preserve">Dias abertos no mês</t>
  </si>
  <si>
    <t xml:space="preserve">Data</t>
  </si>
  <si>
    <t xml:space="preserve">Turno</t>
  </si>
  <si>
    <t xml:space="preserve">Responsável</t>
  </si>
  <si>
    <t xml:space="preserve">Fundo de troco</t>
  </si>
  <si>
    <t xml:space="preserve">Vendas em dinheiro</t>
  </si>
  <si>
    <t xml:space="preserve">Outras entradas</t>
  </si>
  <si>
    <t xml:space="preserve">Sangrias</t>
  </si>
  <si>
    <t xml:space="preserve">Despesas pagas no caixa</t>
  </si>
  <si>
    <t xml:space="preserve">Esperado na gaveta</t>
  </si>
  <si>
    <t xml:space="preserve">Contado na gaveta</t>
  </si>
  <si>
    <t xml:space="preserve">Diferença</t>
  </si>
  <si>
    <t xml:space="preserve">Situação</t>
  </si>
  <si>
    <t xml:space="preserve">Observação</t>
  </si>
  <si>
    <t xml:space="preserve">Noite</t>
  </si>
  <si>
    <t xml:space="preserve">Ana</t>
  </si>
  <si>
    <t xml:space="preserve">Gelo pago no caixa</t>
  </si>
  <si>
    <t xml:space="preserve">TOTAL DO MÊS</t>
  </si>
  <si>
    <t xml:space="preserve">RESUMO DO MÊS</t>
  </si>
  <si>
    <t xml:space="preserve">Dias conferidos</t>
  </si>
  <si>
    <t xml:space="preserve">Dias que bateram (OK)</t>
  </si>
  <si>
    <t xml:space="preserve">Dias com FALTA</t>
  </si>
  <si>
    <t xml:space="preserve">Dias com SOBRA</t>
  </si>
  <si>
    <t xml:space="preserve">Total que faltou</t>
  </si>
  <si>
    <t xml:space="preserve">Total que sobrou</t>
  </si>
  <si>
    <t xml:space="preserve">Diferença líquida do mês</t>
  </si>
  <si>
    <t xml:space="preserve">Maior falta em um dia</t>
  </si>
  <si>
    <t xml:space="preserve">Diferença média por dia conferido</t>
  </si>
  <si>
    <t xml:space="preserve">Se continuar assim, em 12 meses</t>
  </si>
  <si>
    <t xml:space="preserve">Projeção simples: diferença média × dias abertos × 12. Serve de alerta, não de previsão.</t>
  </si>
  <si>
    <t xml:space="preserve">DIFERENÇA POR RESPONSÁVEL</t>
  </si>
  <si>
    <t xml:space="preserve">Responsável (digite o nome)</t>
  </si>
  <si>
    <t xml:space="preserve">Dias no caixa</t>
  </si>
  <si>
    <t xml:space="preserve">Diferença somada</t>
  </si>
  <si>
    <t xml:space="preserve">Dias com falta</t>
  </si>
  <si>
    <t xml:space="preserve">Quer conferir também maquininha, contas a pagar, imposto e lucro do mês?</t>
  </si>
  <si>
    <t xml:space="preserve">Conheça o Kit Micro no Controle: micronocontrole.com/kit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</si>
</sst>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yyyy"/>
    <numFmt numFmtId="166" formatCode="&quot;R$ &quot;#,##0.00;[RED]&quot;-R$ &quot;#,##0.00;\-"/>
    <numFmt numFmtId="167" formatCode="dd/mm/yyyy"/>
    <numFmt numFmtId="168" formatCode="0"/>
    <numFmt numFmtId="169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A6B6B"/>
      <name val="Arial"/>
      <family val="0"/>
      <charset val="1"/>
    </font>
    <font>
      <b val="true"/>
      <sz val="12"/>
      <color rgb="FF0F3D3E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A6B6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5A6B6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F3D3E"/>
      <name val="Arial"/>
      <family val="0"/>
      <charset val="1"/>
    </font>
    <font>
      <u val="single"/>
      <sz val="11"/>
      <color rgb="FF1F6FE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D3E"/>
        <bgColor rgb="FF333333"/>
      </patternFill>
    </fill>
    <fill>
      <patternFill patternType="solid">
        <fgColor rgb="FFFFF7D6"/>
        <bgColor rgb="FFFDEBD0"/>
      </patternFill>
    </fill>
    <fill>
      <patternFill patternType="solid">
        <fgColor rgb="FFF3F5F5"/>
        <bgColor rgb="FFFFFFFF"/>
      </patternFill>
    </fill>
    <fill>
      <patternFill patternType="solid">
        <fgColor rgb="FFFADBD8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DC"/>
      </left>
      <right style="thin">
        <color rgb="FFD5DCDC"/>
      </right>
      <top style="thin">
        <color rgb="FFD5DCDC"/>
      </top>
      <bottom style="thin">
        <color rgb="FFD5D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03A2E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AF601A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F601A"/>
      <rgbColor rgb="FF800080"/>
      <rgbColor rgb="FF008080"/>
      <rgbColor rgb="FFC0C0C0"/>
      <rgbColor rgb="FF808080"/>
      <rgbColor rgb="FF9999FF"/>
      <rgbColor rgb="FF993366"/>
      <rgbColor rgb="FFFFF7D6"/>
      <rgbColor rgb="FFF3F5F5"/>
      <rgbColor rgb="FF660066"/>
      <rgbColor rgb="FFFF8080"/>
      <rgbColor rgb="FF0066CC"/>
      <rgbColor rgb="FFD5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1F6FEB"/>
      <rgbColor rgb="FF33CCCC"/>
      <rgbColor rgb="FF99CC00"/>
      <rgbColor rgb="FFFFCC00"/>
      <rgbColor rgb="FFFF9900"/>
      <rgbColor rgb="FFFF6600"/>
      <rgbColor rgb="FF5A6B6B"/>
      <rgbColor rgb="FF969696"/>
      <rgbColor rgb="FF0F3D3E"/>
      <rgbColor rgb="FF1E8449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icronocontrole.com/ki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39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8" hidden="false" customHeight="true" outlineLevel="0" collapsed="false">
      <c r="B8" s="4" t="s">
        <v>5</v>
      </c>
    </row>
    <row r="9" customFormat="false" ht="30" hidden="false" customHeight="true" outlineLevel="0" collapsed="false">
      <c r="B9" s="4" t="s">
        <v>6</v>
      </c>
    </row>
    <row r="10" customFormat="false" ht="18" hidden="false" customHeight="true" outlineLevel="0" collapsed="false">
      <c r="B10" s="4" t="s">
        <v>7</v>
      </c>
    </row>
    <row r="11" customFormat="false" ht="18" hidden="false" customHeight="true" outlineLevel="0" collapsed="false">
      <c r="B11" s="4" t="s">
        <v>8</v>
      </c>
    </row>
    <row r="12" customFormat="false" ht="30" hidden="false" customHeight="true" outlineLevel="0" collapsed="false">
      <c r="B12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8" hidden="false" customHeight="true" outlineLevel="0" collapsed="false">
      <c r="B15" s="4" t="s">
        <v>11</v>
      </c>
    </row>
    <row r="16" customFormat="false" ht="18" hidden="false" customHeight="true" outlineLevel="0" collapsed="false">
      <c r="B16" s="4" t="s">
        <v>12</v>
      </c>
    </row>
    <row r="17" customFormat="false" ht="18" hidden="false" customHeight="true" outlineLevel="0" collapsed="false">
      <c r="B17" s="4" t="s">
        <v>13</v>
      </c>
    </row>
    <row r="18" customFormat="false" ht="18" hidden="false" customHeight="true" outlineLevel="0" collapsed="false">
      <c r="B18" s="4" t="s">
        <v>14</v>
      </c>
    </row>
    <row r="20" customFormat="false" ht="15" hidden="false" customHeight="false" outlineLevel="0" collapsed="false">
      <c r="B20" s="3" t="s">
        <v>15</v>
      </c>
    </row>
    <row r="21" customFormat="false" ht="30" hidden="false" customHeight="true" outlineLevel="0" collapsed="false">
      <c r="B21" s="4" t="s">
        <v>16</v>
      </c>
    </row>
    <row r="23" customFormat="false" ht="15" hidden="false" customHeight="false" outlineLevel="0" collapsed="false">
      <c r="B23" s="3" t="s">
        <v>17</v>
      </c>
    </row>
    <row r="24" customFormat="false" ht="30" hidden="false" customHeight="true" outlineLevel="0" collapsed="false">
      <c r="B24" s="4" t="s">
        <v>18</v>
      </c>
    </row>
    <row r="25" customFormat="false" ht="22.35" hidden="false" customHeight="false" outlineLevel="0" collapsed="false">
      <c r="B25" s="5" t="s">
        <v>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10" min="8" style="0" width="14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28"/>
  </cols>
  <sheetData>
    <row r="1" customFormat="false" ht="33.75" hidden="false" customHeight="true" outlineLevel="0" collapsed="false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5" hidden="false" customHeight="false" outlineLevel="0" collapsed="false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customFormat="false" ht="15" hidden="false" customHeight="false" outlineLevel="0" collapsed="false">
      <c r="A3" s="8" t="s">
        <v>22</v>
      </c>
      <c r="B3" s="8"/>
      <c r="C3" s="9" t="s">
        <v>23</v>
      </c>
      <c r="E3" s="10" t="s">
        <v>24</v>
      </c>
    </row>
    <row r="4" customFormat="false" ht="15" hidden="false" customHeight="false" outlineLevel="0" collapsed="false">
      <c r="A4" s="8" t="s">
        <v>25</v>
      </c>
      <c r="B4" s="8"/>
      <c r="C4" s="11" t="n">
        <v>46327</v>
      </c>
      <c r="E4" s="10" t="s">
        <v>26</v>
      </c>
    </row>
    <row r="5" customFormat="false" ht="15" hidden="false" customHeight="false" outlineLevel="0" collapsed="false">
      <c r="A5" s="8" t="s">
        <v>27</v>
      </c>
      <c r="B5" s="8"/>
      <c r="C5" s="12" t="n">
        <v>1</v>
      </c>
    </row>
    <row r="6" customFormat="false" ht="15" hidden="false" customHeight="false" outlineLevel="0" collapsed="false">
      <c r="A6" s="8" t="s">
        <v>28</v>
      </c>
      <c r="B6" s="8"/>
      <c r="C6" s="9" t="n">
        <v>26</v>
      </c>
    </row>
    <row r="8" customFormat="false" ht="31.5" hidden="false" customHeight="true" outlineLevel="0" collapsed="false">
      <c r="A8" s="13" t="s">
        <v>29</v>
      </c>
      <c r="B8" s="13" t="s">
        <v>30</v>
      </c>
      <c r="C8" s="13" t="s">
        <v>31</v>
      </c>
      <c r="D8" s="13" t="s">
        <v>32</v>
      </c>
      <c r="E8" s="13" t="s">
        <v>33</v>
      </c>
      <c r="F8" s="13" t="s">
        <v>34</v>
      </c>
      <c r="G8" s="13" t="s">
        <v>35</v>
      </c>
      <c r="H8" s="13" t="s">
        <v>36</v>
      </c>
      <c r="I8" s="13" t="s">
        <v>37</v>
      </c>
      <c r="J8" s="13" t="s">
        <v>38</v>
      </c>
      <c r="K8" s="13" t="s">
        <v>39</v>
      </c>
      <c r="L8" s="13" t="s">
        <v>40</v>
      </c>
      <c r="M8" s="13" t="s">
        <v>41</v>
      </c>
    </row>
    <row r="9" customFormat="false" ht="15" hidden="false" customHeight="false" outlineLevel="0" collapsed="false">
      <c r="A9" s="14" t="n">
        <v>46329</v>
      </c>
      <c r="B9" s="9" t="s">
        <v>42</v>
      </c>
      <c r="C9" s="9" t="s">
        <v>43</v>
      </c>
      <c r="D9" s="12" t="n">
        <v>200</v>
      </c>
      <c r="E9" s="12" t="n">
        <v>1250</v>
      </c>
      <c r="F9" s="12" t="n">
        <v>0</v>
      </c>
      <c r="G9" s="12" t="n">
        <v>800</v>
      </c>
      <c r="H9" s="12" t="n">
        <v>60</v>
      </c>
      <c r="I9" s="15" t="n">
        <f aca="false">IF(COUNT(D9:H9)=0,"",N(D9)+N(E9)+N(F9)-N(G9)-N(H9))</f>
        <v>590</v>
      </c>
      <c r="J9" s="12" t="n">
        <v>552.5</v>
      </c>
      <c r="K9" s="16" t="n">
        <f aca="false">IF(OR(I9="",J9=""),"",J9-I9)</f>
        <v>-37.5</v>
      </c>
      <c r="L9" s="17" t="str">
        <f aca="false">IF(K9="","",IF(ABS(K9)&lt;=$C$5,"OK",IF(K9&lt;0,"FALTA","SOBRA")))</f>
        <v>FALTA</v>
      </c>
      <c r="M9" s="9" t="s">
        <v>44</v>
      </c>
    </row>
    <row r="10" customFormat="false" ht="15" hidden="false" customHeight="false" outlineLevel="0" collapsed="false">
      <c r="A10" s="14"/>
      <c r="B10" s="9"/>
      <c r="C10" s="9"/>
      <c r="D10" s="12"/>
      <c r="E10" s="12"/>
      <c r="F10" s="12"/>
      <c r="G10" s="12"/>
      <c r="H10" s="12"/>
      <c r="I10" s="15" t="str">
        <f aca="false">IF(COUNT(D10:H10)=0,"",N(D10)+N(E10)+N(F10)-N(G10)-N(H10))</f>
        <v/>
      </c>
      <c r="J10" s="12"/>
      <c r="K10" s="16" t="str">
        <f aca="false">IF(OR(I10="",J10=""),"",J10-I10)</f>
        <v/>
      </c>
      <c r="L10" s="17" t="str">
        <f aca="false">IF(K10="","",IF(ABS(K10)&lt;=$C$5,"OK",IF(K10&lt;0,"FALTA","SOBRA")))</f>
        <v/>
      </c>
      <c r="M10" s="9"/>
    </row>
    <row r="11" customFormat="false" ht="15" hidden="false" customHeight="false" outlineLevel="0" collapsed="false">
      <c r="A11" s="14"/>
      <c r="B11" s="9"/>
      <c r="C11" s="9"/>
      <c r="D11" s="12"/>
      <c r="E11" s="12"/>
      <c r="F11" s="12"/>
      <c r="G11" s="12"/>
      <c r="H11" s="12"/>
      <c r="I11" s="15" t="str">
        <f aca="false">IF(COUNT(D11:H11)=0,"",N(D11)+N(E11)+N(F11)-N(G11)-N(H11))</f>
        <v/>
      </c>
      <c r="J11" s="12"/>
      <c r="K11" s="16" t="str">
        <f aca="false">IF(OR(I11="",J11=""),"",J11-I11)</f>
        <v/>
      </c>
      <c r="L11" s="17" t="str">
        <f aca="false">IF(K11="","",IF(ABS(K11)&lt;=$C$5,"OK",IF(K11&lt;0,"FALTA","SOBRA")))</f>
        <v/>
      </c>
      <c r="M11" s="9"/>
    </row>
    <row r="12" customFormat="false" ht="15" hidden="false" customHeight="false" outlineLevel="0" collapsed="false">
      <c r="A12" s="14"/>
      <c r="B12" s="9"/>
      <c r="C12" s="9"/>
      <c r="D12" s="12"/>
      <c r="E12" s="12"/>
      <c r="F12" s="12"/>
      <c r="G12" s="12"/>
      <c r="H12" s="12"/>
      <c r="I12" s="15" t="str">
        <f aca="false">IF(COUNT(D12:H12)=0,"",N(D12)+N(E12)+N(F12)-N(G12)-N(H12))</f>
        <v/>
      </c>
      <c r="J12" s="12"/>
      <c r="K12" s="16" t="str">
        <f aca="false">IF(OR(I12="",J12=""),"",J12-I12)</f>
        <v/>
      </c>
      <c r="L12" s="17" t="str">
        <f aca="false">IF(K12="","",IF(ABS(K12)&lt;=$C$5,"OK",IF(K12&lt;0,"FALTA","SOBRA")))</f>
        <v/>
      </c>
      <c r="M12" s="9"/>
    </row>
    <row r="13" customFormat="false" ht="15" hidden="false" customHeight="false" outlineLevel="0" collapsed="false">
      <c r="A13" s="14"/>
      <c r="B13" s="9"/>
      <c r="C13" s="9"/>
      <c r="D13" s="12"/>
      <c r="E13" s="12"/>
      <c r="F13" s="12"/>
      <c r="G13" s="12"/>
      <c r="H13" s="12"/>
      <c r="I13" s="15" t="str">
        <f aca="false">IF(COUNT(D13:H13)=0,"",N(D13)+N(E13)+N(F13)-N(G13)-N(H13))</f>
        <v/>
      </c>
      <c r="J13" s="12"/>
      <c r="K13" s="16" t="str">
        <f aca="false">IF(OR(I13="",J13=""),"",J13-I13)</f>
        <v/>
      </c>
      <c r="L13" s="17" t="str">
        <f aca="false">IF(K13="","",IF(ABS(K13)&lt;=$C$5,"OK",IF(K13&lt;0,"FALTA","SOBRA")))</f>
        <v/>
      </c>
      <c r="M13" s="9"/>
    </row>
    <row r="14" customFormat="false" ht="15" hidden="false" customHeight="false" outlineLevel="0" collapsed="false">
      <c r="A14" s="14"/>
      <c r="B14" s="9"/>
      <c r="C14" s="9"/>
      <c r="D14" s="12"/>
      <c r="E14" s="12"/>
      <c r="F14" s="12"/>
      <c r="G14" s="12"/>
      <c r="H14" s="12"/>
      <c r="I14" s="15" t="str">
        <f aca="false">IF(COUNT(D14:H14)=0,"",N(D14)+N(E14)+N(F14)-N(G14)-N(H14))</f>
        <v/>
      </c>
      <c r="J14" s="12"/>
      <c r="K14" s="16" t="str">
        <f aca="false">IF(OR(I14="",J14=""),"",J14-I14)</f>
        <v/>
      </c>
      <c r="L14" s="17" t="str">
        <f aca="false">IF(K14="","",IF(ABS(K14)&lt;=$C$5,"OK",IF(K14&lt;0,"FALTA","SOBRA")))</f>
        <v/>
      </c>
      <c r="M14" s="9"/>
    </row>
    <row r="15" customFormat="false" ht="15" hidden="false" customHeight="false" outlineLevel="0" collapsed="false">
      <c r="A15" s="14"/>
      <c r="B15" s="9"/>
      <c r="C15" s="9"/>
      <c r="D15" s="12"/>
      <c r="E15" s="12"/>
      <c r="F15" s="12"/>
      <c r="G15" s="12"/>
      <c r="H15" s="12"/>
      <c r="I15" s="15" t="str">
        <f aca="false">IF(COUNT(D15:H15)=0,"",N(D15)+N(E15)+N(F15)-N(G15)-N(H15))</f>
        <v/>
      </c>
      <c r="J15" s="12"/>
      <c r="K15" s="16" t="str">
        <f aca="false">IF(OR(I15="",J15=""),"",J15-I15)</f>
        <v/>
      </c>
      <c r="L15" s="17" t="str">
        <f aca="false">IF(K15="","",IF(ABS(K15)&lt;=$C$5,"OK",IF(K15&lt;0,"FALTA","SOBRA")))</f>
        <v/>
      </c>
      <c r="M15" s="9"/>
    </row>
    <row r="16" customFormat="false" ht="15" hidden="false" customHeight="false" outlineLevel="0" collapsed="false">
      <c r="A16" s="14"/>
      <c r="B16" s="9"/>
      <c r="C16" s="9"/>
      <c r="D16" s="12"/>
      <c r="E16" s="12"/>
      <c r="F16" s="12"/>
      <c r="G16" s="12"/>
      <c r="H16" s="12"/>
      <c r="I16" s="15" t="str">
        <f aca="false">IF(COUNT(D16:H16)=0,"",N(D16)+N(E16)+N(F16)-N(G16)-N(H16))</f>
        <v/>
      </c>
      <c r="J16" s="12"/>
      <c r="K16" s="16" t="str">
        <f aca="false">IF(OR(I16="",J16=""),"",J16-I16)</f>
        <v/>
      </c>
      <c r="L16" s="17" t="str">
        <f aca="false">IF(K16="","",IF(ABS(K16)&lt;=$C$5,"OK",IF(K16&lt;0,"FALTA","SOBRA")))</f>
        <v/>
      </c>
      <c r="M16" s="9"/>
    </row>
    <row r="17" customFormat="false" ht="15" hidden="false" customHeight="false" outlineLevel="0" collapsed="false">
      <c r="A17" s="14"/>
      <c r="B17" s="9"/>
      <c r="C17" s="9"/>
      <c r="D17" s="12"/>
      <c r="E17" s="12"/>
      <c r="F17" s="12"/>
      <c r="G17" s="12"/>
      <c r="H17" s="12"/>
      <c r="I17" s="15" t="str">
        <f aca="false">IF(COUNT(D17:H17)=0,"",N(D17)+N(E17)+N(F17)-N(G17)-N(H17))</f>
        <v/>
      </c>
      <c r="J17" s="12"/>
      <c r="K17" s="16" t="str">
        <f aca="false">IF(OR(I17="",J17=""),"",J17-I17)</f>
        <v/>
      </c>
      <c r="L17" s="17" t="str">
        <f aca="false">IF(K17="","",IF(ABS(K17)&lt;=$C$5,"OK",IF(K17&lt;0,"FALTA","SOBRA")))</f>
        <v/>
      </c>
      <c r="M17" s="9"/>
    </row>
    <row r="18" customFormat="false" ht="15" hidden="false" customHeight="false" outlineLevel="0" collapsed="false">
      <c r="A18" s="14"/>
      <c r="B18" s="9"/>
      <c r="C18" s="9"/>
      <c r="D18" s="12"/>
      <c r="E18" s="12"/>
      <c r="F18" s="12"/>
      <c r="G18" s="12"/>
      <c r="H18" s="12"/>
      <c r="I18" s="15" t="str">
        <f aca="false">IF(COUNT(D18:H18)=0,"",N(D18)+N(E18)+N(F18)-N(G18)-N(H18))</f>
        <v/>
      </c>
      <c r="J18" s="12"/>
      <c r="K18" s="16" t="str">
        <f aca="false">IF(OR(I18="",J18=""),"",J18-I18)</f>
        <v/>
      </c>
      <c r="L18" s="17" t="str">
        <f aca="false">IF(K18="","",IF(ABS(K18)&lt;=$C$5,"OK",IF(K18&lt;0,"FALTA","SOBRA")))</f>
        <v/>
      </c>
      <c r="M18" s="9"/>
    </row>
    <row r="19" customFormat="false" ht="15" hidden="false" customHeight="false" outlineLevel="0" collapsed="false">
      <c r="A19" s="14"/>
      <c r="B19" s="9"/>
      <c r="C19" s="9"/>
      <c r="D19" s="12"/>
      <c r="E19" s="12"/>
      <c r="F19" s="12"/>
      <c r="G19" s="12"/>
      <c r="H19" s="12"/>
      <c r="I19" s="15" t="str">
        <f aca="false">IF(COUNT(D19:H19)=0,"",N(D19)+N(E19)+N(F19)-N(G19)-N(H19))</f>
        <v/>
      </c>
      <c r="J19" s="12"/>
      <c r="K19" s="16" t="str">
        <f aca="false">IF(OR(I19="",J19=""),"",J19-I19)</f>
        <v/>
      </c>
      <c r="L19" s="17" t="str">
        <f aca="false">IF(K19="","",IF(ABS(K19)&lt;=$C$5,"OK",IF(K19&lt;0,"FALTA","SOBRA")))</f>
        <v/>
      </c>
      <c r="M19" s="9"/>
    </row>
    <row r="20" customFormat="false" ht="15" hidden="false" customHeight="false" outlineLevel="0" collapsed="false">
      <c r="A20" s="14"/>
      <c r="B20" s="9"/>
      <c r="C20" s="9"/>
      <c r="D20" s="12"/>
      <c r="E20" s="12"/>
      <c r="F20" s="12"/>
      <c r="G20" s="12"/>
      <c r="H20" s="12"/>
      <c r="I20" s="15" t="str">
        <f aca="false">IF(COUNT(D20:H20)=0,"",N(D20)+N(E20)+N(F20)-N(G20)-N(H20))</f>
        <v/>
      </c>
      <c r="J20" s="12"/>
      <c r="K20" s="16" t="str">
        <f aca="false">IF(OR(I20="",J20=""),"",J20-I20)</f>
        <v/>
      </c>
      <c r="L20" s="17" t="str">
        <f aca="false">IF(K20="","",IF(ABS(K20)&lt;=$C$5,"OK",IF(K20&lt;0,"FALTA","SOBRA")))</f>
        <v/>
      </c>
      <c r="M20" s="9"/>
    </row>
    <row r="21" customFormat="false" ht="15" hidden="false" customHeight="false" outlineLevel="0" collapsed="false">
      <c r="A21" s="14"/>
      <c r="B21" s="9"/>
      <c r="C21" s="9"/>
      <c r="D21" s="12"/>
      <c r="E21" s="12"/>
      <c r="F21" s="12"/>
      <c r="G21" s="12"/>
      <c r="H21" s="12"/>
      <c r="I21" s="15" t="str">
        <f aca="false">IF(COUNT(D21:H21)=0,"",N(D21)+N(E21)+N(F21)-N(G21)-N(H21))</f>
        <v/>
      </c>
      <c r="J21" s="12"/>
      <c r="K21" s="16" t="str">
        <f aca="false">IF(OR(I21="",J21=""),"",J21-I21)</f>
        <v/>
      </c>
      <c r="L21" s="17" t="str">
        <f aca="false">IF(K21="","",IF(ABS(K21)&lt;=$C$5,"OK",IF(K21&lt;0,"FALTA","SOBRA")))</f>
        <v/>
      </c>
      <c r="M21" s="9"/>
    </row>
    <row r="22" customFormat="false" ht="15" hidden="false" customHeight="false" outlineLevel="0" collapsed="false">
      <c r="A22" s="14"/>
      <c r="B22" s="9"/>
      <c r="C22" s="9"/>
      <c r="D22" s="12"/>
      <c r="E22" s="12"/>
      <c r="F22" s="12"/>
      <c r="G22" s="12"/>
      <c r="H22" s="12"/>
      <c r="I22" s="15" t="str">
        <f aca="false">IF(COUNT(D22:H22)=0,"",N(D22)+N(E22)+N(F22)-N(G22)-N(H22))</f>
        <v/>
      </c>
      <c r="J22" s="12"/>
      <c r="K22" s="16" t="str">
        <f aca="false">IF(OR(I22="",J22=""),"",J22-I22)</f>
        <v/>
      </c>
      <c r="L22" s="17" t="str">
        <f aca="false">IF(K22="","",IF(ABS(K22)&lt;=$C$5,"OK",IF(K22&lt;0,"FALTA","SOBRA")))</f>
        <v/>
      </c>
      <c r="M22" s="9"/>
    </row>
    <row r="23" customFormat="false" ht="15" hidden="false" customHeight="false" outlineLevel="0" collapsed="false">
      <c r="A23" s="14"/>
      <c r="B23" s="9"/>
      <c r="C23" s="9"/>
      <c r="D23" s="12"/>
      <c r="E23" s="12"/>
      <c r="F23" s="12"/>
      <c r="G23" s="12"/>
      <c r="H23" s="12"/>
      <c r="I23" s="15" t="str">
        <f aca="false">IF(COUNT(D23:H23)=0,"",N(D23)+N(E23)+N(F23)-N(G23)-N(H23))</f>
        <v/>
      </c>
      <c r="J23" s="12"/>
      <c r="K23" s="16" t="str">
        <f aca="false">IF(OR(I23="",J23=""),"",J23-I23)</f>
        <v/>
      </c>
      <c r="L23" s="17" t="str">
        <f aca="false">IF(K23="","",IF(ABS(K23)&lt;=$C$5,"OK",IF(K23&lt;0,"FALTA","SOBRA")))</f>
        <v/>
      </c>
      <c r="M23" s="9"/>
    </row>
    <row r="24" customFormat="false" ht="15" hidden="false" customHeight="false" outlineLevel="0" collapsed="false">
      <c r="A24" s="14"/>
      <c r="B24" s="9"/>
      <c r="C24" s="9"/>
      <c r="D24" s="12"/>
      <c r="E24" s="12"/>
      <c r="F24" s="12"/>
      <c r="G24" s="12"/>
      <c r="H24" s="12"/>
      <c r="I24" s="15" t="str">
        <f aca="false">IF(COUNT(D24:H24)=0,"",N(D24)+N(E24)+N(F24)-N(G24)-N(H24))</f>
        <v/>
      </c>
      <c r="J24" s="12"/>
      <c r="K24" s="16" t="str">
        <f aca="false">IF(OR(I24="",J24=""),"",J24-I24)</f>
        <v/>
      </c>
      <c r="L24" s="17" t="str">
        <f aca="false">IF(K24="","",IF(ABS(K24)&lt;=$C$5,"OK",IF(K24&lt;0,"FALTA","SOBRA")))</f>
        <v/>
      </c>
      <c r="M24" s="9"/>
    </row>
    <row r="25" customFormat="false" ht="15" hidden="false" customHeight="false" outlineLevel="0" collapsed="false">
      <c r="A25" s="14"/>
      <c r="B25" s="9"/>
      <c r="C25" s="9"/>
      <c r="D25" s="12"/>
      <c r="E25" s="12"/>
      <c r="F25" s="12"/>
      <c r="G25" s="12"/>
      <c r="H25" s="12"/>
      <c r="I25" s="15" t="str">
        <f aca="false">IF(COUNT(D25:H25)=0,"",N(D25)+N(E25)+N(F25)-N(G25)-N(H25))</f>
        <v/>
      </c>
      <c r="J25" s="12"/>
      <c r="K25" s="16" t="str">
        <f aca="false">IF(OR(I25="",J25=""),"",J25-I25)</f>
        <v/>
      </c>
      <c r="L25" s="17" t="str">
        <f aca="false">IF(K25="","",IF(ABS(K25)&lt;=$C$5,"OK",IF(K25&lt;0,"FALTA","SOBRA")))</f>
        <v/>
      </c>
      <c r="M25" s="9"/>
    </row>
    <row r="26" customFormat="false" ht="15" hidden="false" customHeight="false" outlineLevel="0" collapsed="false">
      <c r="A26" s="14"/>
      <c r="B26" s="9"/>
      <c r="C26" s="9"/>
      <c r="D26" s="12"/>
      <c r="E26" s="12"/>
      <c r="F26" s="12"/>
      <c r="G26" s="12"/>
      <c r="H26" s="12"/>
      <c r="I26" s="15" t="str">
        <f aca="false">IF(COUNT(D26:H26)=0,"",N(D26)+N(E26)+N(F26)-N(G26)-N(H26))</f>
        <v/>
      </c>
      <c r="J26" s="12"/>
      <c r="K26" s="16" t="str">
        <f aca="false">IF(OR(I26="",J26=""),"",J26-I26)</f>
        <v/>
      </c>
      <c r="L26" s="17" t="str">
        <f aca="false">IF(K26="","",IF(ABS(K26)&lt;=$C$5,"OK",IF(K26&lt;0,"FALTA","SOBRA")))</f>
        <v/>
      </c>
      <c r="M26" s="9"/>
    </row>
    <row r="27" customFormat="false" ht="15" hidden="false" customHeight="false" outlineLevel="0" collapsed="false">
      <c r="A27" s="14"/>
      <c r="B27" s="9"/>
      <c r="C27" s="9"/>
      <c r="D27" s="12"/>
      <c r="E27" s="12"/>
      <c r="F27" s="12"/>
      <c r="G27" s="12"/>
      <c r="H27" s="12"/>
      <c r="I27" s="15" t="str">
        <f aca="false">IF(COUNT(D27:H27)=0,"",N(D27)+N(E27)+N(F27)-N(G27)-N(H27))</f>
        <v/>
      </c>
      <c r="J27" s="12"/>
      <c r="K27" s="16" t="str">
        <f aca="false">IF(OR(I27="",J27=""),"",J27-I27)</f>
        <v/>
      </c>
      <c r="L27" s="17" t="str">
        <f aca="false">IF(K27="","",IF(ABS(K27)&lt;=$C$5,"OK",IF(K27&lt;0,"FALTA","SOBRA")))</f>
        <v/>
      </c>
      <c r="M27" s="9"/>
    </row>
    <row r="28" customFormat="false" ht="15" hidden="false" customHeight="false" outlineLevel="0" collapsed="false">
      <c r="A28" s="14"/>
      <c r="B28" s="9"/>
      <c r="C28" s="9"/>
      <c r="D28" s="12"/>
      <c r="E28" s="12"/>
      <c r="F28" s="12"/>
      <c r="G28" s="12"/>
      <c r="H28" s="12"/>
      <c r="I28" s="15" t="str">
        <f aca="false">IF(COUNT(D28:H28)=0,"",N(D28)+N(E28)+N(F28)-N(G28)-N(H28))</f>
        <v/>
      </c>
      <c r="J28" s="12"/>
      <c r="K28" s="16" t="str">
        <f aca="false">IF(OR(I28="",J28=""),"",J28-I28)</f>
        <v/>
      </c>
      <c r="L28" s="17" t="str">
        <f aca="false">IF(K28="","",IF(ABS(K28)&lt;=$C$5,"OK",IF(K28&lt;0,"FALTA","SOBRA")))</f>
        <v/>
      </c>
      <c r="M28" s="9"/>
    </row>
    <row r="29" customFormat="false" ht="15" hidden="false" customHeight="false" outlineLevel="0" collapsed="false">
      <c r="A29" s="14"/>
      <c r="B29" s="9"/>
      <c r="C29" s="9"/>
      <c r="D29" s="12"/>
      <c r="E29" s="12"/>
      <c r="F29" s="12"/>
      <c r="G29" s="12"/>
      <c r="H29" s="12"/>
      <c r="I29" s="15" t="str">
        <f aca="false">IF(COUNT(D29:H29)=0,"",N(D29)+N(E29)+N(F29)-N(G29)-N(H29))</f>
        <v/>
      </c>
      <c r="J29" s="12"/>
      <c r="K29" s="16" t="str">
        <f aca="false">IF(OR(I29="",J29=""),"",J29-I29)</f>
        <v/>
      </c>
      <c r="L29" s="17" t="str">
        <f aca="false">IF(K29="","",IF(ABS(K29)&lt;=$C$5,"OK",IF(K29&lt;0,"FALTA","SOBRA")))</f>
        <v/>
      </c>
      <c r="M29" s="9"/>
    </row>
    <row r="30" customFormat="false" ht="15" hidden="false" customHeight="false" outlineLevel="0" collapsed="false">
      <c r="A30" s="14"/>
      <c r="B30" s="9"/>
      <c r="C30" s="9"/>
      <c r="D30" s="12"/>
      <c r="E30" s="12"/>
      <c r="F30" s="12"/>
      <c r="G30" s="12"/>
      <c r="H30" s="12"/>
      <c r="I30" s="15" t="str">
        <f aca="false">IF(COUNT(D30:H30)=0,"",N(D30)+N(E30)+N(F30)-N(G30)-N(H30))</f>
        <v/>
      </c>
      <c r="J30" s="12"/>
      <c r="K30" s="16" t="str">
        <f aca="false">IF(OR(I30="",J30=""),"",J30-I30)</f>
        <v/>
      </c>
      <c r="L30" s="17" t="str">
        <f aca="false">IF(K30="","",IF(ABS(K30)&lt;=$C$5,"OK",IF(K30&lt;0,"FALTA","SOBRA")))</f>
        <v/>
      </c>
      <c r="M30" s="9"/>
    </row>
    <row r="31" customFormat="false" ht="15" hidden="false" customHeight="false" outlineLevel="0" collapsed="false">
      <c r="A31" s="14"/>
      <c r="B31" s="9"/>
      <c r="C31" s="9"/>
      <c r="D31" s="12"/>
      <c r="E31" s="12"/>
      <c r="F31" s="12"/>
      <c r="G31" s="12"/>
      <c r="H31" s="12"/>
      <c r="I31" s="15" t="str">
        <f aca="false">IF(COUNT(D31:H31)=0,"",N(D31)+N(E31)+N(F31)-N(G31)-N(H31))</f>
        <v/>
      </c>
      <c r="J31" s="12"/>
      <c r="K31" s="16" t="str">
        <f aca="false">IF(OR(I31="",J31=""),"",J31-I31)</f>
        <v/>
      </c>
      <c r="L31" s="17" t="str">
        <f aca="false">IF(K31="","",IF(ABS(K31)&lt;=$C$5,"OK",IF(K31&lt;0,"FALTA","SOBRA")))</f>
        <v/>
      </c>
      <c r="M31" s="9"/>
    </row>
    <row r="32" customFormat="false" ht="15" hidden="false" customHeight="false" outlineLevel="0" collapsed="false">
      <c r="A32" s="14"/>
      <c r="B32" s="9"/>
      <c r="C32" s="9"/>
      <c r="D32" s="12"/>
      <c r="E32" s="12"/>
      <c r="F32" s="12"/>
      <c r="G32" s="12"/>
      <c r="H32" s="12"/>
      <c r="I32" s="15" t="str">
        <f aca="false">IF(COUNT(D32:H32)=0,"",N(D32)+N(E32)+N(F32)-N(G32)-N(H32))</f>
        <v/>
      </c>
      <c r="J32" s="12"/>
      <c r="K32" s="16" t="str">
        <f aca="false">IF(OR(I32="",J32=""),"",J32-I32)</f>
        <v/>
      </c>
      <c r="L32" s="17" t="str">
        <f aca="false">IF(K32="","",IF(ABS(K32)&lt;=$C$5,"OK",IF(K32&lt;0,"FALTA","SOBRA")))</f>
        <v/>
      </c>
      <c r="M32" s="9"/>
    </row>
    <row r="33" customFormat="false" ht="15" hidden="false" customHeight="false" outlineLevel="0" collapsed="false">
      <c r="A33" s="14"/>
      <c r="B33" s="9"/>
      <c r="C33" s="9"/>
      <c r="D33" s="12"/>
      <c r="E33" s="12"/>
      <c r="F33" s="12"/>
      <c r="G33" s="12"/>
      <c r="H33" s="12"/>
      <c r="I33" s="15" t="str">
        <f aca="false">IF(COUNT(D33:H33)=0,"",N(D33)+N(E33)+N(F33)-N(G33)-N(H33))</f>
        <v/>
      </c>
      <c r="J33" s="12"/>
      <c r="K33" s="16" t="str">
        <f aca="false">IF(OR(I33="",J33=""),"",J33-I33)</f>
        <v/>
      </c>
      <c r="L33" s="17" t="str">
        <f aca="false">IF(K33="","",IF(ABS(K33)&lt;=$C$5,"OK",IF(K33&lt;0,"FALTA","SOBRA")))</f>
        <v/>
      </c>
      <c r="M33" s="9"/>
    </row>
    <row r="34" customFormat="false" ht="15" hidden="false" customHeight="false" outlineLevel="0" collapsed="false">
      <c r="A34" s="14"/>
      <c r="B34" s="9"/>
      <c r="C34" s="9"/>
      <c r="D34" s="12"/>
      <c r="E34" s="12"/>
      <c r="F34" s="12"/>
      <c r="G34" s="12"/>
      <c r="H34" s="12"/>
      <c r="I34" s="15" t="str">
        <f aca="false">IF(COUNT(D34:H34)=0,"",N(D34)+N(E34)+N(F34)-N(G34)-N(H34))</f>
        <v/>
      </c>
      <c r="J34" s="12"/>
      <c r="K34" s="16" t="str">
        <f aca="false">IF(OR(I34="",J34=""),"",J34-I34)</f>
        <v/>
      </c>
      <c r="L34" s="17" t="str">
        <f aca="false">IF(K34="","",IF(ABS(K34)&lt;=$C$5,"OK",IF(K34&lt;0,"FALTA","SOBRA")))</f>
        <v/>
      </c>
      <c r="M34" s="9"/>
    </row>
    <row r="35" customFormat="false" ht="15" hidden="false" customHeight="false" outlineLevel="0" collapsed="false">
      <c r="A35" s="14"/>
      <c r="B35" s="9"/>
      <c r="C35" s="9"/>
      <c r="D35" s="12"/>
      <c r="E35" s="12"/>
      <c r="F35" s="12"/>
      <c r="G35" s="12"/>
      <c r="H35" s="12"/>
      <c r="I35" s="15" t="str">
        <f aca="false">IF(COUNT(D35:H35)=0,"",N(D35)+N(E35)+N(F35)-N(G35)-N(H35))</f>
        <v/>
      </c>
      <c r="J35" s="12"/>
      <c r="K35" s="16" t="str">
        <f aca="false">IF(OR(I35="",J35=""),"",J35-I35)</f>
        <v/>
      </c>
      <c r="L35" s="17" t="str">
        <f aca="false">IF(K35="","",IF(ABS(K35)&lt;=$C$5,"OK",IF(K35&lt;0,"FALTA","SOBRA")))</f>
        <v/>
      </c>
      <c r="M35" s="9"/>
    </row>
    <row r="36" customFormat="false" ht="15" hidden="false" customHeight="false" outlineLevel="0" collapsed="false">
      <c r="A36" s="14"/>
      <c r="B36" s="9"/>
      <c r="C36" s="9"/>
      <c r="D36" s="12"/>
      <c r="E36" s="12"/>
      <c r="F36" s="12"/>
      <c r="G36" s="12"/>
      <c r="H36" s="12"/>
      <c r="I36" s="15" t="str">
        <f aca="false">IF(COUNT(D36:H36)=0,"",N(D36)+N(E36)+N(F36)-N(G36)-N(H36))</f>
        <v/>
      </c>
      <c r="J36" s="12"/>
      <c r="K36" s="16" t="str">
        <f aca="false">IF(OR(I36="",J36=""),"",J36-I36)</f>
        <v/>
      </c>
      <c r="L36" s="17" t="str">
        <f aca="false">IF(K36="","",IF(ABS(K36)&lt;=$C$5,"OK",IF(K36&lt;0,"FALTA","SOBRA")))</f>
        <v/>
      </c>
      <c r="M36" s="9"/>
    </row>
    <row r="37" customFormat="false" ht="15" hidden="false" customHeight="false" outlineLevel="0" collapsed="false">
      <c r="A37" s="14"/>
      <c r="B37" s="9"/>
      <c r="C37" s="9"/>
      <c r="D37" s="12"/>
      <c r="E37" s="12"/>
      <c r="F37" s="12"/>
      <c r="G37" s="12"/>
      <c r="H37" s="12"/>
      <c r="I37" s="15" t="str">
        <f aca="false">IF(COUNT(D37:H37)=0,"",N(D37)+N(E37)+N(F37)-N(G37)-N(H37))</f>
        <v/>
      </c>
      <c r="J37" s="12"/>
      <c r="K37" s="16" t="str">
        <f aca="false">IF(OR(I37="",J37=""),"",J37-I37)</f>
        <v/>
      </c>
      <c r="L37" s="17" t="str">
        <f aca="false">IF(K37="","",IF(ABS(K37)&lt;=$C$5,"OK",IF(K37&lt;0,"FALTA","SOBRA")))</f>
        <v/>
      </c>
      <c r="M37" s="9"/>
    </row>
    <row r="38" customFormat="false" ht="15" hidden="false" customHeight="false" outlineLevel="0" collapsed="false">
      <c r="A38" s="14"/>
      <c r="B38" s="9"/>
      <c r="C38" s="9"/>
      <c r="D38" s="12"/>
      <c r="E38" s="12"/>
      <c r="F38" s="12"/>
      <c r="G38" s="12"/>
      <c r="H38" s="12"/>
      <c r="I38" s="15" t="str">
        <f aca="false">IF(COUNT(D38:H38)=0,"",N(D38)+N(E38)+N(F38)-N(G38)-N(H38))</f>
        <v/>
      </c>
      <c r="J38" s="12"/>
      <c r="K38" s="16" t="str">
        <f aca="false">IF(OR(I38="",J38=""),"",J38-I38)</f>
        <v/>
      </c>
      <c r="L38" s="17" t="str">
        <f aca="false">IF(K38="","",IF(ABS(K38)&lt;=$C$5,"OK",IF(K38&lt;0,"FALTA","SOBRA")))</f>
        <v/>
      </c>
      <c r="M38" s="9"/>
    </row>
    <row r="39" customFormat="false" ht="15" hidden="false" customHeight="false" outlineLevel="0" collapsed="false">
      <c r="A39" s="14"/>
      <c r="B39" s="9"/>
      <c r="C39" s="9"/>
      <c r="D39" s="12"/>
      <c r="E39" s="12"/>
      <c r="F39" s="12"/>
      <c r="G39" s="12"/>
      <c r="H39" s="12"/>
      <c r="I39" s="15" t="str">
        <f aca="false">IF(COUNT(D39:H39)=0,"",N(D39)+N(E39)+N(F39)-N(G39)-N(H39))</f>
        <v/>
      </c>
      <c r="J39" s="12"/>
      <c r="K39" s="16" t="str">
        <f aca="false">IF(OR(I39="",J39=""),"",J39-I39)</f>
        <v/>
      </c>
      <c r="L39" s="17" t="str">
        <f aca="false">IF(K39="","",IF(ABS(K39)&lt;=$C$5,"OK",IF(K39&lt;0,"FALTA","SOBRA")))</f>
        <v/>
      </c>
      <c r="M39" s="9"/>
    </row>
    <row r="40" customFormat="false" ht="15" hidden="false" customHeight="false" outlineLevel="0" collapsed="false">
      <c r="A40" s="18" t="s">
        <v>45</v>
      </c>
      <c r="B40" s="18"/>
      <c r="C40" s="18"/>
      <c r="D40" s="19"/>
      <c r="E40" s="20" t="n">
        <f aca="false">SUM(E9:E39)</f>
        <v>1250</v>
      </c>
      <c r="F40" s="20" t="n">
        <f aca="false">SUM(F9:F39)</f>
        <v>0</v>
      </c>
      <c r="G40" s="20" t="n">
        <f aca="false">SUM(G9:G39)</f>
        <v>800</v>
      </c>
      <c r="H40" s="20" t="n">
        <f aca="false">SUM(H9:H39)</f>
        <v>60</v>
      </c>
      <c r="I40" s="19"/>
      <c r="J40" s="19"/>
      <c r="K40" s="20" t="n">
        <f aca="false">SUM(K9:K39)</f>
        <v>-37.5</v>
      </c>
      <c r="L40" s="19"/>
      <c r="M40" s="19"/>
    </row>
  </sheetData>
  <mergeCells count="7">
    <mergeCell ref="A1:M1"/>
    <mergeCell ref="A2:M2"/>
    <mergeCell ref="A3:B3"/>
    <mergeCell ref="A4:B4"/>
    <mergeCell ref="A5:B5"/>
    <mergeCell ref="A6:B6"/>
    <mergeCell ref="A40:C40"/>
  </mergeCells>
  <conditionalFormatting sqref="L9:L39">
    <cfRule type="expression" priority="2" aboveAverage="0" equalAverage="0" bottom="0" percent="0" rank="0" text="" dxfId="0">
      <formula>$L9="FALTA"</formula>
    </cfRule>
    <cfRule type="expression" priority="3" aboveAverage="0" equalAverage="0" bottom="0" percent="0" rank="0" text="" dxfId="1">
      <formula>$L9="SOBRA"</formula>
    </cfRule>
    <cfRule type="expression" priority="4" aboveAverage="0" equalAverage="0" bottom="0" percent="0" rank="0" text="" dxfId="2">
      <formula>$L9="OK"</formula>
    </cfRule>
  </conditionalFormatting>
  <dataValidations count="1">
    <dataValidation allowBlank="true" errorStyle="stop" operator="between" showDropDown="false" showErrorMessage="false" showInputMessage="false" sqref="B9:B39" type="list">
      <formula1>"Manhã,Tarde,Noite,Dia todo"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6" t="s">
        <v>46</v>
      </c>
      <c r="B1" s="6"/>
      <c r="C1" s="6"/>
      <c r="D1" s="6"/>
    </row>
    <row r="2" customFormat="false" ht="15" hidden="false" customHeight="false" outlineLevel="0" collapsed="false">
      <c r="A2" s="21" t="str">
        <f aca="false">'Caixa do Mês'!C3</f>
        <v>Meu Restaurante</v>
      </c>
    </row>
    <row r="4" customFormat="false" ht="15" hidden="false" customHeight="false" outlineLevel="0" collapsed="false">
      <c r="A4" s="22" t="s">
        <v>47</v>
      </c>
      <c r="B4" s="23" t="n">
        <f aca="false">COUNT('Caixa do Mês'!K9:K39)</f>
        <v>1</v>
      </c>
    </row>
    <row r="5" customFormat="false" ht="15" hidden="false" customHeight="false" outlineLevel="0" collapsed="false">
      <c r="A5" s="24" t="s">
        <v>48</v>
      </c>
      <c r="B5" s="25" t="n">
        <f aca="false">COUNTIF('Caixa do Mês'!L9:L39,"OK")</f>
        <v>0</v>
      </c>
    </row>
    <row r="6" customFormat="false" ht="15" hidden="false" customHeight="false" outlineLevel="0" collapsed="false">
      <c r="A6" s="22" t="s">
        <v>49</v>
      </c>
      <c r="B6" s="23" t="n">
        <f aca="false">COUNTIF('Caixa do Mês'!L9:L39,"FALTA")</f>
        <v>1</v>
      </c>
    </row>
    <row r="7" customFormat="false" ht="15" hidden="false" customHeight="false" outlineLevel="0" collapsed="false">
      <c r="A7" s="24" t="s">
        <v>50</v>
      </c>
      <c r="B7" s="25" t="n">
        <f aca="false">COUNTIF('Caixa do Mês'!L9:L39,"SOBRA")</f>
        <v>0</v>
      </c>
    </row>
    <row r="8" customFormat="false" ht="15" hidden="false" customHeight="false" outlineLevel="0" collapsed="false">
      <c r="A8" s="22" t="s">
        <v>51</v>
      </c>
      <c r="B8" s="26" t="n">
        <f aca="false">SUMIF('Caixa do Mês'!K9:K39,"&lt;0")</f>
        <v>-37.5</v>
      </c>
    </row>
    <row r="9" customFormat="false" ht="15" hidden="false" customHeight="false" outlineLevel="0" collapsed="false">
      <c r="A9" s="24" t="s">
        <v>52</v>
      </c>
      <c r="B9" s="27" t="n">
        <f aca="false">SUMIF('Caixa do Mês'!K9:K39,"&gt;0")</f>
        <v>0</v>
      </c>
    </row>
    <row r="10" customFormat="false" ht="15" hidden="false" customHeight="false" outlineLevel="0" collapsed="false">
      <c r="A10" s="28" t="s">
        <v>53</v>
      </c>
      <c r="B10" s="26" t="n">
        <f aca="false">SUM('Caixa do Mês'!K9:K39)</f>
        <v>-37.5</v>
      </c>
    </row>
    <row r="11" customFormat="false" ht="15" hidden="false" customHeight="false" outlineLevel="0" collapsed="false">
      <c r="A11" s="24" t="s">
        <v>54</v>
      </c>
      <c r="B11" s="27" t="n">
        <f aca="false">IF(COUNTIF('Caixa do Mês'!K9:K39,"&lt;0")=0,0,MIN('Caixa do Mês'!K9:K39))</f>
        <v>-37.5</v>
      </c>
    </row>
    <row r="12" customFormat="false" ht="15" hidden="false" customHeight="false" outlineLevel="0" collapsed="false">
      <c r="A12" s="22" t="s">
        <v>55</v>
      </c>
      <c r="B12" s="26" t="n">
        <f aca="false">IFERROR(SUM('Caixa do Mês'!K9:K39)/COUNT('Caixa do Mês'!K9:K39),0)</f>
        <v>-37.5</v>
      </c>
    </row>
    <row r="13" customFormat="false" ht="15" hidden="false" customHeight="false" outlineLevel="0" collapsed="false">
      <c r="A13" s="29" t="s">
        <v>56</v>
      </c>
      <c r="B13" s="30" t="n">
        <f aca="false">B12*'Caixa do Mês'!C6*12</f>
        <v>-11700</v>
      </c>
      <c r="C13" s="10" t="s">
        <v>57</v>
      </c>
    </row>
    <row r="16" customFormat="false" ht="15" hidden="false" customHeight="false" outlineLevel="0" collapsed="false">
      <c r="A16" s="31" t="s">
        <v>58</v>
      </c>
    </row>
    <row r="17" customFormat="false" ht="15" hidden="false" customHeight="false" outlineLevel="0" collapsed="false">
      <c r="A17" s="32" t="s">
        <v>59</v>
      </c>
      <c r="B17" s="32" t="s">
        <v>60</v>
      </c>
      <c r="C17" s="32" t="s">
        <v>61</v>
      </c>
      <c r="D17" s="32" t="s">
        <v>62</v>
      </c>
    </row>
    <row r="18" customFormat="false" ht="15" hidden="false" customHeight="false" outlineLevel="0" collapsed="false">
      <c r="A18" s="33" t="s">
        <v>43</v>
      </c>
      <c r="B18" s="34" t="n">
        <f aca="false">IF(A18="","",COUNTIFS('Caixa do Mês'!C9:C39,A18,'Caixa do Mês'!K9:K39,"&lt;&gt;"))</f>
        <v>1</v>
      </c>
      <c r="C18" s="35" t="n">
        <f aca="false">IF(A18="","",SUMIF('Caixa do Mês'!C9:C39,A18,'Caixa do Mês'!K9:K39))</f>
        <v>-37.5</v>
      </c>
      <c r="D18" s="34" t="n">
        <f aca="false">IF(A18="","",COUNTIFS('Caixa do Mês'!C9:C39,A18,'Caixa do Mês'!L9:L39,"FALTA"))</f>
        <v>1</v>
      </c>
    </row>
    <row r="19" customFormat="false" ht="15" hidden="false" customHeight="false" outlineLevel="0" collapsed="false">
      <c r="A19" s="33"/>
      <c r="B19" s="34" t="str">
        <f aca="false">IF(A19="","",COUNTIFS('Caixa do Mês'!C9:C39,A19,'Caixa do Mês'!K9:K39,"&lt;&gt;"))</f>
        <v/>
      </c>
      <c r="C19" s="35" t="str">
        <f aca="false">IF(A19="","",SUMIF('Caixa do Mês'!C9:C39,A19,'Caixa do Mês'!K9:K39))</f>
        <v/>
      </c>
      <c r="D19" s="34" t="str">
        <f aca="false">IF(A19="","",COUNTIFS('Caixa do Mês'!C9:C39,A19,'Caixa do Mês'!L9:L39,"FALTA"))</f>
        <v/>
      </c>
    </row>
    <row r="20" customFormat="false" ht="15" hidden="false" customHeight="false" outlineLevel="0" collapsed="false">
      <c r="A20" s="33"/>
      <c r="B20" s="34" t="str">
        <f aca="false">IF(A20="","",COUNTIFS('Caixa do Mês'!C9:C39,A20,'Caixa do Mês'!K9:K39,"&lt;&gt;"))</f>
        <v/>
      </c>
      <c r="C20" s="35" t="str">
        <f aca="false">IF(A20="","",SUMIF('Caixa do Mês'!C9:C39,A20,'Caixa do Mês'!K9:K39))</f>
        <v/>
      </c>
      <c r="D20" s="34" t="str">
        <f aca="false">IF(A20="","",COUNTIFS('Caixa do Mês'!C9:C39,A20,'Caixa do Mês'!L9:L39,"FALTA"))</f>
        <v/>
      </c>
    </row>
    <row r="21" customFormat="false" ht="15" hidden="false" customHeight="false" outlineLevel="0" collapsed="false">
      <c r="A21" s="33"/>
      <c r="B21" s="34" t="str">
        <f aca="false">IF(A21="","",COUNTIFS('Caixa do Mês'!C9:C39,A21,'Caixa do Mês'!K9:K39,"&lt;&gt;"))</f>
        <v/>
      </c>
      <c r="C21" s="35" t="str">
        <f aca="false">IF(A21="","",SUMIF('Caixa do Mês'!C9:C39,A21,'Caixa do Mês'!K9:K39))</f>
        <v/>
      </c>
      <c r="D21" s="34" t="str">
        <f aca="false">IF(A21="","",COUNTIFS('Caixa do Mês'!C9:C39,A21,'Caixa do Mês'!L9:L39,"FALTA"))</f>
        <v/>
      </c>
    </row>
    <row r="22" customFormat="false" ht="15" hidden="false" customHeight="false" outlineLevel="0" collapsed="false">
      <c r="A22" s="33"/>
      <c r="B22" s="34" t="str">
        <f aca="false">IF(A22="","",COUNTIFS('Caixa do Mês'!C9:C39,A22,'Caixa do Mês'!K9:K39,"&lt;&gt;"))</f>
        <v/>
      </c>
      <c r="C22" s="35" t="str">
        <f aca="false">IF(A22="","",SUMIF('Caixa do Mês'!C9:C39,A22,'Caixa do Mês'!K9:K39))</f>
        <v/>
      </c>
      <c r="D22" s="34" t="str">
        <f aca="false">IF(A22="","",COUNTIFS('Caixa do Mês'!C9:C39,A22,'Caixa do Mês'!L9:L39,"FALTA"))</f>
        <v/>
      </c>
    </row>
    <row r="23" customFormat="false" ht="15" hidden="false" customHeight="false" outlineLevel="0" collapsed="false">
      <c r="A23" s="33"/>
      <c r="B23" s="34" t="str">
        <f aca="false">IF(A23="","",COUNTIFS('Caixa do Mês'!C9:C39,A23,'Caixa do Mês'!K9:K39,"&lt;&gt;"))</f>
        <v/>
      </c>
      <c r="C23" s="35" t="str">
        <f aca="false">IF(A23="","",SUMIF('Caixa do Mês'!C9:C39,A23,'Caixa do Mês'!K9:K39))</f>
        <v/>
      </c>
      <c r="D23" s="34" t="str">
        <f aca="false">IF(A23="","",COUNTIFS('Caixa do Mês'!C9:C39,A23,'Caixa do Mês'!L9:L39,"FALTA"))</f>
        <v/>
      </c>
    </row>
    <row r="26" customFormat="false" ht="15" hidden="false" customHeight="false" outlineLevel="0" collapsed="false">
      <c r="A26" s="36" t="s">
        <v>63</v>
      </c>
    </row>
    <row r="27" customFormat="false" ht="15" hidden="false" customHeight="false" outlineLevel="0" collapsed="false">
      <c r="A27" s="37" t="s">
        <v>64</v>
      </c>
    </row>
  </sheetData>
  <mergeCells count="1">
    <mergeCell ref="A1:D1"/>
  </mergeCells>
  <hyperlinks>
    <hyperlink ref="A27" r:id="rId1" display="Conheça o Kit Micro no Controle: micronocontrole.com/k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2026-10-20T17:57:35Z</dcterms:created>
  <dc:creator>openpyxl</dc:creator>
  <dc:description/>
  <dc:language>en-US</dc:language>
  <cp:lastModifiedBy/>
  <dcterms:modified xsi:type="dcterms:W3CDTF">2026-10-20T17:57:35Z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